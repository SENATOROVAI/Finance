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операций" sheetId="1" state="visible" r:id="rId1"/>
    <sheet xmlns:r="http://schemas.openxmlformats.org/officeDocument/2006/relationships" name="Остатки на начало" sheetId="2" state="visible" r:id="rId2"/>
    <sheet xmlns:r="http://schemas.openxmlformats.org/officeDocument/2006/relationships" name="Самолёты (Т-счета)" sheetId="3" state="visible" r:id="rId3"/>
    <sheet xmlns:r="http://schemas.openxmlformats.org/officeDocument/2006/relationships" name="ОСВ" sheetId="4" state="visible" r:id="rId4"/>
    <sheet xmlns:r="http://schemas.openxmlformats.org/officeDocument/2006/relationships" name="Балан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1" applyAlignment="1" pivotButton="0" quotePrefix="0" xfId="0">
      <alignment horizontal="right" vertical="center"/>
    </xf>
    <xf numFmtId="4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0" fillId="2" borderId="1" pivotButton="0" quotePrefix="0" xfId="0"/>
    <xf numFmtId="4" fontId="2" fillId="0" borderId="1" applyAlignment="1" pivotButton="0" quotePrefix="0" xfId="0">
      <alignment horizontal="right" vertical="center"/>
    </xf>
    <xf numFmtId="4" fontId="2" fillId="2" borderId="1" applyAlignment="1" pivotButton="0" quotePrefix="0" xfId="0">
      <alignment horizontal="right" vertical="center"/>
    </xf>
    <xf numFmtId="0" fontId="2" fillId="0" borderId="1" pivotButton="0" quotePrefix="0" xfId="0"/>
    <xf numFmtId="4" fontId="0" fillId="0" borderId="0" applyAlignment="1" pivotButton="0" quotePrefix="0" xfId="0">
      <alignment horizontal="right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0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Журнал хозяйственных операций ООО «...» за апрель — Вариант 7 (k = 4,5)</t>
        </is>
      </c>
    </row>
    <row r="3">
      <c r="A3" s="2" t="inlineStr">
        <is>
          <t>№</t>
        </is>
      </c>
      <c r="B3" s="2" t="inlineStr">
        <is>
          <t>Содержание хозяйственной операции</t>
        </is>
      </c>
      <c r="C3" s="2" t="inlineStr">
        <is>
          <t>Дебет</t>
        </is>
      </c>
      <c r="D3" s="2" t="inlineStr">
        <is>
          <t>Кредит</t>
        </is>
      </c>
      <c r="E3" s="2" t="inlineStr">
        <is>
          <t>Базовая сумма, руб.</t>
        </is>
      </c>
      <c r="F3" s="2" t="inlineStr">
        <is>
          <t>Сумма ×4,5, руб.</t>
        </is>
      </c>
    </row>
    <row r="4">
      <c r="A4" s="3" t="n">
        <v>1</v>
      </c>
      <c r="B4" s="4" t="inlineStr">
        <is>
          <t>Принято к оплате платежное требование поставщика за поступившие материалы</t>
        </is>
      </c>
      <c r="C4" s="3" t="n">
        <v>10</v>
      </c>
      <c r="D4" s="3" t="n">
        <v>60</v>
      </c>
      <c r="E4" s="5" t="n">
        <v>18660</v>
      </c>
      <c r="F4" s="5" t="n">
        <v>83970</v>
      </c>
    </row>
    <row r="5">
      <c r="A5" s="3" t="n">
        <v>2</v>
      </c>
      <c r="B5" s="4" t="inlineStr">
        <is>
          <t>Принято к оплате платежное требование транспортной организации за доставку материалов</t>
        </is>
      </c>
      <c r="C5" s="3" t="n">
        <v>10</v>
      </c>
      <c r="D5" s="3" t="n">
        <v>60</v>
      </c>
      <c r="E5" s="5" t="n">
        <v>1132</v>
      </c>
      <c r="F5" s="5" t="n">
        <v>5094</v>
      </c>
    </row>
    <row r="6">
      <c r="A6" s="3" t="n">
        <v>3</v>
      </c>
      <c r="B6" s="4" t="inlineStr">
        <is>
          <t>Уплачено подотчётным лицом за разгрузку материалов</t>
        </is>
      </c>
      <c r="C6" s="3" t="n">
        <v>10</v>
      </c>
      <c r="D6" s="3" t="n">
        <v>71</v>
      </c>
      <c r="E6" s="5" t="n">
        <v>956</v>
      </c>
      <c r="F6" s="5" t="n">
        <v>4302</v>
      </c>
    </row>
    <row r="7">
      <c r="A7" s="3" t="n">
        <v>4</v>
      </c>
      <c r="B7" s="4" t="inlineStr">
        <is>
          <t>Перечислено с расчётного счёта в погашение задолженности поставщикам</t>
        </is>
      </c>
      <c r="C7" s="3" t="n">
        <v>60</v>
      </c>
      <c r="D7" s="3" t="n">
        <v>51</v>
      </c>
      <c r="E7" s="5" t="n">
        <v>9900</v>
      </c>
      <c r="F7" s="5" t="n">
        <v>44550</v>
      </c>
    </row>
    <row r="8">
      <c r="A8" s="3" t="n">
        <v>5</v>
      </c>
      <c r="B8" s="4" t="inlineStr">
        <is>
          <t>Начислена заработная плата рабочим за производство продукции</t>
        </is>
      </c>
      <c r="C8" s="3" t="n">
        <v>20</v>
      </c>
      <c r="D8" s="3" t="n">
        <v>70</v>
      </c>
      <c r="E8" s="5" t="n">
        <v>24060</v>
      </c>
      <c r="F8" s="5" t="n">
        <v>108270</v>
      </c>
    </row>
    <row r="9">
      <c r="A9" s="3" t="n">
        <v>6</v>
      </c>
      <c r="B9" s="4" t="inlineStr">
        <is>
          <t>Начислены страховые взносы с оплаты труда</t>
        </is>
      </c>
      <c r="C9" s="3" t="n">
        <v>20</v>
      </c>
      <c r="D9" s="3" t="n">
        <v>69</v>
      </c>
      <c r="E9" s="5" t="n">
        <v>7218</v>
      </c>
      <c r="F9" s="5" t="n">
        <v>32481</v>
      </c>
    </row>
    <row r="10">
      <c r="A10" s="3" t="n">
        <v>7</v>
      </c>
      <c r="B10" s="4" t="inlineStr">
        <is>
          <t>Отпущены со склада и использованы в производстве материалы</t>
        </is>
      </c>
      <c r="C10" s="3" t="n">
        <v>20</v>
      </c>
      <c r="D10" s="3" t="n">
        <v>10</v>
      </c>
      <c r="E10" s="5" t="n">
        <v>21300</v>
      </c>
      <c r="F10" s="5" t="n">
        <v>95850</v>
      </c>
    </row>
    <row r="11">
      <c r="A11" s="3" t="n">
        <v>8</v>
      </c>
      <c r="B11" s="4" t="inlineStr">
        <is>
          <t>Начислена амортизация производственного оборудования</t>
        </is>
      </c>
      <c r="C11" s="3" t="n">
        <v>20</v>
      </c>
      <c r="D11" s="3" t="n">
        <v>2</v>
      </c>
      <c r="E11" s="5" t="n">
        <v>2660</v>
      </c>
      <c r="F11" s="5" t="n">
        <v>11970</v>
      </c>
    </row>
    <row r="12">
      <c r="A12" s="3" t="n">
        <v>9</v>
      </c>
      <c r="B12" s="4" t="inlineStr">
        <is>
          <t>Выпущена и оприходована на склад готовая продукция по факт. с/с (4 шт.)</t>
        </is>
      </c>
      <c r="C12" s="3" t="n">
        <v>43</v>
      </c>
      <c r="D12" s="3" t="n">
        <v>20</v>
      </c>
      <c r="E12" s="5" t="n">
        <v>57238</v>
      </c>
      <c r="F12" s="5" t="n">
        <v>257571</v>
      </c>
    </row>
    <row r="13">
      <c r="A13" s="3" t="n">
        <v>10</v>
      </c>
      <c r="B13" s="4" t="inlineStr">
        <is>
          <t>Отпущены со склада материалы на упаковку реализованной продукции</t>
        </is>
      </c>
      <c r="C13" s="3" t="n">
        <v>44</v>
      </c>
      <c r="D13" s="3" t="n">
        <v>10</v>
      </c>
      <c r="E13" s="5" t="n">
        <v>406</v>
      </c>
      <c r="F13" s="5" t="n">
        <v>1827</v>
      </c>
    </row>
    <row r="14">
      <c r="A14" s="3" t="n">
        <v>11</v>
      </c>
      <c r="B14" s="4" t="inlineStr">
        <is>
          <t>Отгружена со склада готовая продукция по фактической себестоимости (3 шт.)</t>
        </is>
      </c>
      <c r="C14" s="3" t="n">
        <v>90</v>
      </c>
      <c r="D14" s="3" t="n">
        <v>43</v>
      </c>
      <c r="E14" s="5" t="n">
        <v>42928.5</v>
      </c>
      <c r="F14" s="5" t="n">
        <v>193178.25</v>
      </c>
    </row>
    <row r="15">
      <c r="A15" s="3" t="n">
        <v>12</v>
      </c>
      <c r="B15" s="4" t="inlineStr">
        <is>
          <t>Начислена выручка на сумму выставленного счёта по отпускным ценам</t>
        </is>
      </c>
      <c r="C15" s="3" t="n">
        <v>62</v>
      </c>
      <c r="D15" s="3" t="n">
        <v>90</v>
      </c>
      <c r="E15" s="5" t="n">
        <v>42600</v>
      </c>
      <c r="F15" s="5" t="n">
        <v>191700</v>
      </c>
    </row>
    <row r="16">
      <c r="A16" s="3" t="n">
        <v>13</v>
      </c>
      <c r="B16" s="4" t="inlineStr">
        <is>
          <t>Принят к оплате счёт транспортной организации за перевозку продукции</t>
        </is>
      </c>
      <c r="C16" s="3" t="n">
        <v>44</v>
      </c>
      <c r="D16" s="3" t="n">
        <v>60</v>
      </c>
      <c r="E16" s="5" t="n">
        <v>1620</v>
      </c>
      <c r="F16" s="5" t="n">
        <v>7290</v>
      </c>
    </row>
    <row r="17">
      <c r="A17" s="3" t="n">
        <v>14</v>
      </c>
      <c r="B17" s="4" t="inlineStr">
        <is>
          <t>Списаны расходы на продажу</t>
        </is>
      </c>
      <c r="C17" s="3" t="n">
        <v>90</v>
      </c>
      <c r="D17" s="3" t="n">
        <v>44</v>
      </c>
      <c r="E17" s="5" t="n">
        <v>2026</v>
      </c>
      <c r="F17" s="5" t="n">
        <v>9117</v>
      </c>
    </row>
    <row r="18">
      <c r="A18" s="3" t="n">
        <v>15</v>
      </c>
      <c r="B18" s="4" t="inlineStr">
        <is>
          <t>Зачислена на расчётный счёт выручка по отпускным ценам</t>
        </is>
      </c>
      <c r="C18" s="3" t="n">
        <v>51</v>
      </c>
      <c r="D18" s="3" t="n">
        <v>62</v>
      </c>
      <c r="E18" s="5" t="n">
        <v>42600</v>
      </c>
      <c r="F18" s="5" t="n">
        <v>191700</v>
      </c>
    </row>
    <row r="19">
      <c r="A19" s="3" t="n">
        <v>16</v>
      </c>
      <c r="B19" s="4" t="inlineStr">
        <is>
          <t>Определён финансовый результат от продажи продукции за апрель</t>
        </is>
      </c>
      <c r="C19" s="3" t="n">
        <v>99</v>
      </c>
      <c r="D19" s="3" t="n">
        <v>90</v>
      </c>
      <c r="E19" s="5" t="n">
        <v>2354.5</v>
      </c>
      <c r="F19" s="5" t="n">
        <v>10595.25</v>
      </c>
    </row>
    <row r="20">
      <c r="A20" s="6" t="n"/>
      <c r="B20" s="7" t="inlineStr">
        <is>
          <t>ИТОГО</t>
        </is>
      </c>
      <c r="C20" s="6" t="n"/>
      <c r="D20" s="6" t="n"/>
      <c r="E20" s="8">
        <f>SUM(E4:E19)</f>
        <v/>
      </c>
      <c r="F20" s="8">
        <f>SUM(F4:F19)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6" customWidth="1" min="4" max="4"/>
  </cols>
  <sheetData>
    <row r="1">
      <c r="A1" s="1" t="inlineStr">
        <is>
          <t>Остатки по счетам на начало периода — Вариант 7</t>
        </is>
      </c>
    </row>
    <row r="3">
      <c r="A3" s="2" t="inlineStr">
        <is>
          <t>№ счёта</t>
        </is>
      </c>
      <c r="B3" s="2" t="inlineStr">
        <is>
          <t>Наименование</t>
        </is>
      </c>
      <c r="C3" s="2" t="inlineStr">
        <is>
          <t>Сальдо Дт</t>
        </is>
      </c>
      <c r="D3" s="2" t="inlineStr">
        <is>
          <t>Сальдо Кт</t>
        </is>
      </c>
    </row>
    <row r="4">
      <c r="A4" s="3" t="n">
        <v>1</v>
      </c>
      <c r="B4" s="4" t="inlineStr">
        <is>
          <t>Основные средства</t>
        </is>
      </c>
      <c r="C4" s="5" t="n">
        <v>810000</v>
      </c>
      <c r="D4" s="5" t="n"/>
    </row>
    <row r="5">
      <c r="A5" s="3" t="n">
        <v>2</v>
      </c>
      <c r="B5" s="4" t="inlineStr">
        <is>
          <t>Амортизация основных средств</t>
        </is>
      </c>
      <c r="C5" s="5" t="n"/>
      <c r="D5" s="5" t="n"/>
    </row>
    <row r="6">
      <c r="A6" s="3" t="n">
        <v>10</v>
      </c>
      <c r="B6" s="4" t="inlineStr">
        <is>
          <t>Материалы</t>
        </is>
      </c>
      <c r="C6" s="5" t="n">
        <v>85500</v>
      </c>
      <c r="D6" s="5" t="n"/>
    </row>
    <row r="7">
      <c r="A7" s="3" t="n">
        <v>20</v>
      </c>
      <c r="B7" s="4" t="inlineStr">
        <is>
          <t>Основное производство</t>
        </is>
      </c>
      <c r="C7" s="5" t="n">
        <v>9000</v>
      </c>
      <c r="D7" s="5" t="n"/>
    </row>
    <row r="8">
      <c r="A8" s="3" t="n">
        <v>43</v>
      </c>
      <c r="B8" s="4" t="inlineStr">
        <is>
          <t>Готовая продукция</t>
        </is>
      </c>
      <c r="C8" s="5" t="n">
        <v>40500</v>
      </c>
      <c r="D8" s="5" t="n"/>
    </row>
    <row r="9">
      <c r="A9" s="3" t="n">
        <v>44</v>
      </c>
      <c r="B9" s="4" t="inlineStr">
        <is>
          <t>Расходы на продажу</t>
        </is>
      </c>
      <c r="C9" s="5" t="n"/>
      <c r="D9" s="5" t="n"/>
    </row>
    <row r="10">
      <c r="A10" s="3" t="n">
        <v>50</v>
      </c>
      <c r="B10" s="4" t="inlineStr">
        <is>
          <t>Касса</t>
        </is>
      </c>
      <c r="C10" s="5" t="n">
        <v>18000</v>
      </c>
      <c r="D10" s="5" t="n"/>
    </row>
    <row r="11">
      <c r="A11" s="3" t="n">
        <v>51</v>
      </c>
      <c r="B11" s="4" t="inlineStr">
        <is>
          <t>Расчётные счета</t>
        </is>
      </c>
      <c r="C11" s="5" t="n">
        <v>171000</v>
      </c>
      <c r="D11" s="5" t="n"/>
    </row>
    <row r="12">
      <c r="A12" s="3" t="n">
        <v>60</v>
      </c>
      <c r="B12" s="4" t="inlineStr">
        <is>
          <t>Расчёты с поставщиками и подрядч.</t>
        </is>
      </c>
      <c r="C12" s="5" t="n"/>
      <c r="D12" s="5" t="n">
        <v>180000</v>
      </c>
    </row>
    <row r="13">
      <c r="A13" s="3" t="n">
        <v>62</v>
      </c>
      <c r="B13" s="4" t="inlineStr">
        <is>
          <t>Расчёты с покупателями и заказч.</t>
        </is>
      </c>
      <c r="C13" s="5" t="n"/>
      <c r="D13" s="5" t="n"/>
    </row>
    <row r="14">
      <c r="A14" s="3" t="n">
        <v>69</v>
      </c>
      <c r="B14" s="4" t="inlineStr">
        <is>
          <t>Расчёты по соц. страхованию</t>
        </is>
      </c>
      <c r="C14" s="5" t="n"/>
      <c r="D14" s="5" t="n"/>
    </row>
    <row r="15">
      <c r="A15" s="3" t="n">
        <v>70</v>
      </c>
      <c r="B15" s="4" t="inlineStr">
        <is>
          <t>Расчёты с персоналом по оплате труда</t>
        </is>
      </c>
      <c r="C15" s="5" t="n"/>
      <c r="D15" s="5" t="n"/>
    </row>
    <row r="16">
      <c r="A16" s="3" t="n">
        <v>71</v>
      </c>
      <c r="B16" s="4" t="inlineStr">
        <is>
          <t>Расчёты с подотчётными лицами</t>
        </is>
      </c>
      <c r="C16" s="5" t="n">
        <v>4500</v>
      </c>
      <c r="D16" s="5" t="n"/>
    </row>
    <row r="17">
      <c r="A17" s="3" t="n">
        <v>80</v>
      </c>
      <c r="B17" s="4" t="inlineStr">
        <is>
          <t>Уставный капитал</t>
        </is>
      </c>
      <c r="C17" s="5" t="n"/>
      <c r="D17" s="5" t="n">
        <v>900000</v>
      </c>
    </row>
    <row r="18">
      <c r="A18" s="3" t="n">
        <v>90</v>
      </c>
      <c r="B18" s="4" t="inlineStr">
        <is>
          <t>Продажи</t>
        </is>
      </c>
      <c r="C18" s="5" t="n"/>
      <c r="D18" s="5" t="n"/>
    </row>
    <row r="19">
      <c r="A19" s="3" t="n">
        <v>99</v>
      </c>
      <c r="B19" s="4" t="inlineStr">
        <is>
          <t>Прибыли и убытки</t>
        </is>
      </c>
      <c r="C19" s="5" t="n"/>
      <c r="D19" s="5" t="n">
        <v>58500</v>
      </c>
    </row>
    <row r="20">
      <c r="A20" s="6" t="n"/>
      <c r="B20" s="7" t="inlineStr">
        <is>
          <t>ИТОГО</t>
        </is>
      </c>
      <c r="C20" s="8">
        <f>SUM(C4:C19)</f>
        <v/>
      </c>
      <c r="D20" s="8">
        <f>SUM(D4:D19)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Открытые счета (Т-счета) — Вариант 7</t>
        </is>
      </c>
    </row>
    <row r="3">
      <c r="A3" s="9" t="inlineStr">
        <is>
          <t>Счёт 10 «Материалы»</t>
        </is>
      </c>
      <c r="B3" s="6" t="n"/>
      <c r="C3" s="6" t="n"/>
      <c r="D3" s="6" t="n"/>
      <c r="F3" s="9" t="inlineStr">
        <is>
          <t>Счёт 20 «Основное производство»</t>
        </is>
      </c>
      <c r="G3" s="6" t="n"/>
      <c r="H3" s="6" t="n"/>
      <c r="I3" s="6" t="n"/>
    </row>
    <row r="4">
      <c r="A4" s="2" t="inlineStr">
        <is>
          <t>Дебет</t>
        </is>
      </c>
      <c r="B4" s="10" t="inlineStr"/>
      <c r="C4" s="2" t="inlineStr">
        <is>
          <t>Кредит</t>
        </is>
      </c>
      <c r="D4" s="11" t="n"/>
      <c r="F4" s="2" t="inlineStr">
        <is>
          <t>Дебет</t>
        </is>
      </c>
      <c r="G4" s="10" t="inlineStr"/>
      <c r="H4" s="2" t="inlineStr">
        <is>
          <t>Кредит</t>
        </is>
      </c>
      <c r="I4" s="11" t="n"/>
    </row>
    <row r="5">
      <c r="A5" s="3" t="inlineStr">
        <is>
          <t>Сн</t>
        </is>
      </c>
      <c r="B5" s="5" t="n">
        <v>85500</v>
      </c>
      <c r="C5" s="3" t="inlineStr">
        <is>
          <t>Сн</t>
        </is>
      </c>
      <c r="D5" s="5" t="n">
        <v>0</v>
      </c>
      <c r="F5" s="3" t="inlineStr">
        <is>
          <t>Сн</t>
        </is>
      </c>
      <c r="G5" s="5" t="n">
        <v>9000</v>
      </c>
      <c r="H5" s="3" t="inlineStr">
        <is>
          <t>Сн</t>
        </is>
      </c>
      <c r="I5" s="5" t="n">
        <v>0</v>
      </c>
    </row>
    <row r="6">
      <c r="A6" s="3" t="n">
        <v>1</v>
      </c>
      <c r="B6" s="5" t="n">
        <v>83970</v>
      </c>
      <c r="C6" s="3" t="n">
        <v>7</v>
      </c>
      <c r="D6" s="5" t="n">
        <v>95850</v>
      </c>
      <c r="F6" s="3" t="n">
        <v>5</v>
      </c>
      <c r="G6" s="5" t="n">
        <v>108270</v>
      </c>
      <c r="H6" s="3" t="n">
        <v>9</v>
      </c>
      <c r="I6" s="5" t="n">
        <v>257571</v>
      </c>
    </row>
    <row r="7">
      <c r="A7" s="3" t="n">
        <v>2</v>
      </c>
      <c r="B7" s="5" t="n">
        <v>5094</v>
      </c>
      <c r="C7" s="3" t="n">
        <v>10</v>
      </c>
      <c r="D7" s="5" t="n">
        <v>1827</v>
      </c>
      <c r="F7" s="3" t="n">
        <v>6</v>
      </c>
      <c r="G7" s="5" t="n">
        <v>32481</v>
      </c>
      <c r="H7" s="6" t="n"/>
      <c r="I7" s="6" t="n"/>
    </row>
    <row r="8">
      <c r="A8" s="3" t="n">
        <v>3</v>
      </c>
      <c r="B8" s="5" t="n">
        <v>4302</v>
      </c>
      <c r="C8" s="6" t="n"/>
      <c r="D8" s="6" t="n"/>
      <c r="F8" s="3" t="n">
        <v>7</v>
      </c>
      <c r="G8" s="5" t="n">
        <v>95850</v>
      </c>
      <c r="H8" s="6" t="n"/>
      <c r="I8" s="6" t="n"/>
    </row>
    <row r="9">
      <c r="A9" s="9" t="inlineStr">
        <is>
          <t>ОД</t>
        </is>
      </c>
      <c r="B9" s="12" t="n">
        <v>93366</v>
      </c>
      <c r="C9" s="9" t="inlineStr">
        <is>
          <t>ОК</t>
        </is>
      </c>
      <c r="D9" s="12" t="n">
        <v>97677</v>
      </c>
      <c r="F9" s="3" t="n">
        <v>8</v>
      </c>
      <c r="G9" s="5" t="n">
        <v>11970</v>
      </c>
      <c r="H9" s="6" t="n"/>
      <c r="I9" s="6" t="n"/>
    </row>
    <row r="10">
      <c r="A10" s="9" t="inlineStr">
        <is>
          <t>Ск</t>
        </is>
      </c>
      <c r="B10" s="5" t="n">
        <v>81189</v>
      </c>
      <c r="C10" s="9" t="inlineStr">
        <is>
          <t>Ск</t>
        </is>
      </c>
      <c r="D10" s="5" t="n">
        <v>0</v>
      </c>
      <c r="F10" s="9" t="inlineStr">
        <is>
          <t>ОД</t>
        </is>
      </c>
      <c r="G10" s="12" t="n">
        <v>248571</v>
      </c>
      <c r="H10" s="9" t="inlineStr">
        <is>
          <t>ОК</t>
        </is>
      </c>
      <c r="I10" s="12" t="n">
        <v>257571</v>
      </c>
    </row>
    <row r="11">
      <c r="F11" s="9" t="inlineStr">
        <is>
          <t>Ск</t>
        </is>
      </c>
      <c r="G11" s="5" t="n">
        <v>0</v>
      </c>
      <c r="H11" s="9" t="inlineStr">
        <is>
          <t>Ск</t>
        </is>
      </c>
      <c r="I11" s="5" t="n">
        <v>0</v>
      </c>
    </row>
    <row r="14">
      <c r="A14" s="9" t="inlineStr">
        <is>
          <t>Счёт 43 «Готовая продукция»</t>
        </is>
      </c>
      <c r="B14" s="6" t="n"/>
      <c r="C14" s="6" t="n"/>
      <c r="D14" s="6" t="n"/>
      <c r="F14" s="9" t="inlineStr">
        <is>
          <t>Счёт 44 «Расходы на продажу»</t>
        </is>
      </c>
      <c r="G14" s="6" t="n"/>
      <c r="H14" s="6" t="n"/>
      <c r="I14" s="6" t="n"/>
    </row>
    <row r="15">
      <c r="A15" s="2" t="inlineStr">
        <is>
          <t>Дебет</t>
        </is>
      </c>
      <c r="B15" s="10" t="inlineStr"/>
      <c r="C15" s="2" t="inlineStr">
        <is>
          <t>Кредит</t>
        </is>
      </c>
      <c r="D15" s="11" t="n"/>
      <c r="F15" s="2" t="inlineStr">
        <is>
          <t>Дебет</t>
        </is>
      </c>
      <c r="G15" s="10" t="inlineStr"/>
      <c r="H15" s="2" t="inlineStr">
        <is>
          <t>Кредит</t>
        </is>
      </c>
      <c r="I15" s="11" t="n"/>
    </row>
    <row r="16">
      <c r="A16" s="3" t="inlineStr">
        <is>
          <t>Сн</t>
        </is>
      </c>
      <c r="B16" s="5" t="n">
        <v>40500</v>
      </c>
      <c r="C16" s="3" t="inlineStr">
        <is>
          <t>Сн</t>
        </is>
      </c>
      <c r="D16" s="5" t="n">
        <v>0</v>
      </c>
      <c r="F16" s="3" t="inlineStr">
        <is>
          <t>Сн</t>
        </is>
      </c>
      <c r="G16" s="5" t="n">
        <v>0</v>
      </c>
      <c r="H16" s="3" t="inlineStr">
        <is>
          <t>Сн</t>
        </is>
      </c>
      <c r="I16" s="5" t="n">
        <v>0</v>
      </c>
    </row>
    <row r="17">
      <c r="A17" s="3" t="n">
        <v>9</v>
      </c>
      <c r="B17" s="5" t="n">
        <v>257571</v>
      </c>
      <c r="C17" s="3" t="n">
        <v>11</v>
      </c>
      <c r="D17" s="5" t="n">
        <v>193178.25</v>
      </c>
      <c r="F17" s="3" t="n">
        <v>10</v>
      </c>
      <c r="G17" s="5" t="n">
        <v>1827</v>
      </c>
      <c r="H17" s="3" t="n">
        <v>14</v>
      </c>
      <c r="I17" s="5" t="n">
        <v>9117</v>
      </c>
    </row>
    <row r="18">
      <c r="A18" s="9" t="inlineStr">
        <is>
          <t>ОД</t>
        </is>
      </c>
      <c r="B18" s="12" t="n">
        <v>257571</v>
      </c>
      <c r="C18" s="9" t="inlineStr">
        <is>
          <t>ОК</t>
        </is>
      </c>
      <c r="D18" s="12" t="n">
        <v>193178.25</v>
      </c>
      <c r="F18" s="3" t="n">
        <v>13</v>
      </c>
      <c r="G18" s="5" t="n">
        <v>7290</v>
      </c>
      <c r="H18" s="6" t="n"/>
      <c r="I18" s="6" t="n"/>
    </row>
    <row r="19">
      <c r="A19" s="9" t="inlineStr">
        <is>
          <t>Ск</t>
        </is>
      </c>
      <c r="B19" s="5" t="n">
        <v>104892.75</v>
      </c>
      <c r="C19" s="9" t="inlineStr">
        <is>
          <t>Ск</t>
        </is>
      </c>
      <c r="D19" s="5" t="n">
        <v>0</v>
      </c>
      <c r="F19" s="9" t="inlineStr">
        <is>
          <t>ОД</t>
        </is>
      </c>
      <c r="G19" s="12" t="n">
        <v>9117</v>
      </c>
      <c r="H19" s="9" t="inlineStr">
        <is>
          <t>ОК</t>
        </is>
      </c>
      <c r="I19" s="12" t="n">
        <v>9117</v>
      </c>
    </row>
    <row r="20">
      <c r="F20" s="9" t="inlineStr">
        <is>
          <t>Ск</t>
        </is>
      </c>
      <c r="G20" s="5" t="n">
        <v>0</v>
      </c>
      <c r="H20" s="9" t="inlineStr">
        <is>
          <t>Ск</t>
        </is>
      </c>
      <c r="I20" s="5" t="n">
        <v>0</v>
      </c>
    </row>
    <row r="23">
      <c r="A23" s="9" t="inlineStr">
        <is>
          <t>Счёт 51 «Расчётные счета»</t>
        </is>
      </c>
      <c r="B23" s="6" t="n"/>
      <c r="C23" s="6" t="n"/>
      <c r="D23" s="6" t="n"/>
      <c r="F23" s="9" t="inlineStr">
        <is>
          <t>Счёт 60 «Расчёты с поставщиками и подрядч.»</t>
        </is>
      </c>
      <c r="G23" s="6" t="n"/>
      <c r="H23" s="6" t="n"/>
      <c r="I23" s="6" t="n"/>
    </row>
    <row r="24">
      <c r="A24" s="2" t="inlineStr">
        <is>
          <t>Дебет</t>
        </is>
      </c>
      <c r="B24" s="10" t="inlineStr"/>
      <c r="C24" s="2" t="inlineStr">
        <is>
          <t>Кредит</t>
        </is>
      </c>
      <c r="D24" s="11" t="n"/>
      <c r="F24" s="2" t="inlineStr">
        <is>
          <t>Дебет</t>
        </is>
      </c>
      <c r="G24" s="10" t="inlineStr"/>
      <c r="H24" s="2" t="inlineStr">
        <is>
          <t>Кредит</t>
        </is>
      </c>
      <c r="I24" s="11" t="n"/>
    </row>
    <row r="25">
      <c r="A25" s="3" t="inlineStr">
        <is>
          <t>Сн</t>
        </is>
      </c>
      <c r="B25" s="5" t="n">
        <v>171000</v>
      </c>
      <c r="C25" s="3" t="inlineStr">
        <is>
          <t>Сн</t>
        </is>
      </c>
      <c r="D25" s="5" t="n">
        <v>0</v>
      </c>
      <c r="F25" s="3" t="inlineStr">
        <is>
          <t>Сн</t>
        </is>
      </c>
      <c r="G25" s="5" t="n">
        <v>0</v>
      </c>
      <c r="H25" s="3" t="inlineStr">
        <is>
          <t>Сн</t>
        </is>
      </c>
      <c r="I25" s="5" t="n">
        <v>180000</v>
      </c>
    </row>
    <row r="26">
      <c r="A26" s="3" t="n">
        <v>15</v>
      </c>
      <c r="B26" s="5" t="n">
        <v>191700</v>
      </c>
      <c r="C26" s="3" t="n">
        <v>4</v>
      </c>
      <c r="D26" s="5" t="n">
        <v>44550</v>
      </c>
      <c r="F26" s="3" t="n">
        <v>4</v>
      </c>
      <c r="G26" s="5" t="n">
        <v>44550</v>
      </c>
      <c r="H26" s="3" t="n">
        <v>1</v>
      </c>
      <c r="I26" s="5" t="n">
        <v>83970</v>
      </c>
    </row>
    <row r="27">
      <c r="A27" s="9" t="inlineStr">
        <is>
          <t>ОД</t>
        </is>
      </c>
      <c r="B27" s="12" t="n">
        <v>191700</v>
      </c>
      <c r="C27" s="9" t="inlineStr">
        <is>
          <t>ОК</t>
        </is>
      </c>
      <c r="D27" s="12" t="n">
        <v>44550</v>
      </c>
      <c r="F27" s="6" t="n"/>
      <c r="G27" s="6" t="n"/>
      <c r="H27" s="3" t="n">
        <v>2</v>
      </c>
      <c r="I27" s="5" t="n">
        <v>5094</v>
      </c>
    </row>
    <row r="28">
      <c r="A28" s="9" t="inlineStr">
        <is>
          <t>Ск</t>
        </is>
      </c>
      <c r="B28" s="5" t="n">
        <v>318150</v>
      </c>
      <c r="C28" s="9" t="inlineStr">
        <is>
          <t>Ск</t>
        </is>
      </c>
      <c r="D28" s="5" t="n">
        <v>0</v>
      </c>
      <c r="F28" s="6" t="n"/>
      <c r="G28" s="6" t="n"/>
      <c r="H28" s="3" t="n">
        <v>13</v>
      </c>
      <c r="I28" s="5" t="n">
        <v>7290</v>
      </c>
    </row>
    <row r="29">
      <c r="F29" s="9" t="inlineStr">
        <is>
          <t>ОД</t>
        </is>
      </c>
      <c r="G29" s="12" t="n">
        <v>44550</v>
      </c>
      <c r="H29" s="9" t="inlineStr">
        <is>
          <t>ОК</t>
        </is>
      </c>
      <c r="I29" s="12" t="n">
        <v>96354</v>
      </c>
    </row>
    <row r="30">
      <c r="F30" s="9" t="inlineStr">
        <is>
          <t>Ск</t>
        </is>
      </c>
      <c r="G30" s="5" t="n">
        <v>0</v>
      </c>
      <c r="H30" s="9" t="inlineStr">
        <is>
          <t>Ск</t>
        </is>
      </c>
      <c r="I30" s="5" t="n">
        <v>231804</v>
      </c>
    </row>
    <row r="33">
      <c r="A33" s="9" t="inlineStr">
        <is>
          <t>Счёт 62 «Расчёты с покупателями и заказч.»</t>
        </is>
      </c>
      <c r="B33" s="6" t="n"/>
      <c r="C33" s="6" t="n"/>
      <c r="D33" s="6" t="n"/>
      <c r="F33" s="9" t="inlineStr">
        <is>
          <t>Счёт 90 «Продажи»</t>
        </is>
      </c>
      <c r="G33" s="6" t="n"/>
      <c r="H33" s="6" t="n"/>
      <c r="I33" s="6" t="n"/>
    </row>
    <row r="34">
      <c r="A34" s="2" t="inlineStr">
        <is>
          <t>Дебет</t>
        </is>
      </c>
      <c r="B34" s="10" t="inlineStr"/>
      <c r="C34" s="2" t="inlineStr">
        <is>
          <t>Кредит</t>
        </is>
      </c>
      <c r="D34" s="11" t="n"/>
      <c r="F34" s="2" t="inlineStr">
        <is>
          <t>Дебет</t>
        </is>
      </c>
      <c r="G34" s="10" t="inlineStr"/>
      <c r="H34" s="2" t="inlineStr">
        <is>
          <t>Кредит</t>
        </is>
      </c>
      <c r="I34" s="11" t="n"/>
    </row>
    <row r="35">
      <c r="A35" s="3" t="inlineStr">
        <is>
          <t>Сн</t>
        </is>
      </c>
      <c r="B35" s="5" t="n">
        <v>0</v>
      </c>
      <c r="C35" s="3" t="inlineStr">
        <is>
          <t>Сн</t>
        </is>
      </c>
      <c r="D35" s="5" t="n">
        <v>0</v>
      </c>
      <c r="F35" s="3" t="inlineStr">
        <is>
          <t>Сн</t>
        </is>
      </c>
      <c r="G35" s="5" t="n">
        <v>0</v>
      </c>
      <c r="H35" s="3" t="inlineStr">
        <is>
          <t>Сн</t>
        </is>
      </c>
      <c r="I35" s="5" t="n">
        <v>0</v>
      </c>
    </row>
    <row r="36">
      <c r="A36" s="3" t="n">
        <v>12</v>
      </c>
      <c r="B36" s="5" t="n">
        <v>191700</v>
      </c>
      <c r="C36" s="3" t="n">
        <v>15</v>
      </c>
      <c r="D36" s="5" t="n">
        <v>191700</v>
      </c>
      <c r="F36" s="3" t="n">
        <v>11</v>
      </c>
      <c r="G36" s="5" t="n">
        <v>193178.25</v>
      </c>
      <c r="H36" s="3" t="n">
        <v>12</v>
      </c>
      <c r="I36" s="5" t="n">
        <v>191700</v>
      </c>
    </row>
    <row r="37">
      <c r="A37" s="9" t="inlineStr">
        <is>
          <t>ОД</t>
        </is>
      </c>
      <c r="B37" s="12" t="n">
        <v>191700</v>
      </c>
      <c r="C37" s="9" t="inlineStr">
        <is>
          <t>ОК</t>
        </is>
      </c>
      <c r="D37" s="12" t="n">
        <v>191700</v>
      </c>
      <c r="F37" s="3" t="n">
        <v>14</v>
      </c>
      <c r="G37" s="5" t="n">
        <v>9117</v>
      </c>
      <c r="H37" s="3" t="n">
        <v>16</v>
      </c>
      <c r="I37" s="5" t="n">
        <v>10595.25</v>
      </c>
    </row>
    <row r="38">
      <c r="A38" s="9" t="inlineStr">
        <is>
          <t>Ск</t>
        </is>
      </c>
      <c r="B38" s="5" t="n">
        <v>0</v>
      </c>
      <c r="C38" s="9" t="inlineStr">
        <is>
          <t>Ск</t>
        </is>
      </c>
      <c r="D38" s="5" t="n">
        <v>0</v>
      </c>
      <c r="F38" s="9" t="inlineStr">
        <is>
          <t>ОД</t>
        </is>
      </c>
      <c r="G38" s="12" t="n">
        <v>202295.25</v>
      </c>
      <c r="H38" s="9" t="inlineStr">
        <is>
          <t>ОК</t>
        </is>
      </c>
      <c r="I38" s="12" t="n">
        <v>202295.25</v>
      </c>
    </row>
    <row r="39">
      <c r="F39" s="9" t="inlineStr">
        <is>
          <t>Ск</t>
        </is>
      </c>
      <c r="G39" s="5" t="n">
        <v>0</v>
      </c>
      <c r="H39" s="9" t="inlineStr">
        <is>
          <t>Ск</t>
        </is>
      </c>
      <c r="I39" s="5" t="n">
        <v>0</v>
      </c>
    </row>
    <row r="42">
      <c r="A42" s="9" t="inlineStr">
        <is>
          <t>Счёт 1 «Основные средства»</t>
        </is>
      </c>
      <c r="B42" s="6" t="n"/>
      <c r="C42" s="6" t="n"/>
      <c r="D42" s="6" t="n"/>
      <c r="F42" s="9" t="inlineStr">
        <is>
          <t>Счёт 2 «Амортизация основных средств»</t>
        </is>
      </c>
      <c r="G42" s="6" t="n"/>
      <c r="H42" s="6" t="n"/>
      <c r="I42" s="6" t="n"/>
    </row>
    <row r="43">
      <c r="A43" s="2" t="inlineStr">
        <is>
          <t>Дебет</t>
        </is>
      </c>
      <c r="B43" s="10" t="inlineStr"/>
      <c r="C43" s="2" t="inlineStr">
        <is>
          <t>Кредит</t>
        </is>
      </c>
      <c r="D43" s="11" t="n"/>
      <c r="F43" s="2" t="inlineStr">
        <is>
          <t>Дебет</t>
        </is>
      </c>
      <c r="G43" s="10" t="inlineStr"/>
      <c r="H43" s="2" t="inlineStr">
        <is>
          <t>Кредит</t>
        </is>
      </c>
      <c r="I43" s="11" t="n"/>
    </row>
    <row r="44">
      <c r="A44" s="3" t="inlineStr">
        <is>
          <t>Сн</t>
        </is>
      </c>
      <c r="B44" s="5" t="n">
        <v>810000</v>
      </c>
      <c r="C44" s="3" t="inlineStr">
        <is>
          <t>Сн</t>
        </is>
      </c>
      <c r="D44" s="5" t="n">
        <v>0</v>
      </c>
      <c r="F44" s="3" t="inlineStr">
        <is>
          <t>Сн</t>
        </is>
      </c>
      <c r="G44" s="5" t="n">
        <v>0</v>
      </c>
      <c r="H44" s="3" t="inlineStr">
        <is>
          <t>Сн</t>
        </is>
      </c>
      <c r="I44" s="5" t="n">
        <v>0</v>
      </c>
    </row>
    <row r="45">
      <c r="A45" s="6" t="n"/>
      <c r="B45" s="6" t="n"/>
      <c r="C45" s="6" t="n"/>
      <c r="D45" s="6" t="n"/>
      <c r="F45" s="6" t="n"/>
      <c r="G45" s="6" t="n"/>
      <c r="H45" s="3" t="n">
        <v>8</v>
      </c>
      <c r="I45" s="5" t="n">
        <v>11970</v>
      </c>
    </row>
    <row r="46">
      <c r="A46" s="9" t="inlineStr">
        <is>
          <t>ОД</t>
        </is>
      </c>
      <c r="B46" s="12" t="n">
        <v>0</v>
      </c>
      <c r="C46" s="9" t="inlineStr">
        <is>
          <t>ОК</t>
        </is>
      </c>
      <c r="D46" s="12" t="n">
        <v>0</v>
      </c>
      <c r="F46" s="9" t="inlineStr">
        <is>
          <t>ОД</t>
        </is>
      </c>
      <c r="G46" s="12" t="n">
        <v>0</v>
      </c>
      <c r="H46" s="9" t="inlineStr">
        <is>
          <t>ОК</t>
        </is>
      </c>
      <c r="I46" s="12" t="n">
        <v>11970</v>
      </c>
    </row>
    <row r="47">
      <c r="A47" s="9" t="inlineStr">
        <is>
          <t>Ск</t>
        </is>
      </c>
      <c r="B47" s="5" t="n">
        <v>810000</v>
      </c>
      <c r="C47" s="9" t="inlineStr">
        <is>
          <t>Ск</t>
        </is>
      </c>
      <c r="D47" s="5" t="n">
        <v>0</v>
      </c>
      <c r="F47" s="9" t="inlineStr">
        <is>
          <t>Ск</t>
        </is>
      </c>
      <c r="G47" s="5" t="n">
        <v>0</v>
      </c>
      <c r="H47" s="9" t="inlineStr">
        <is>
          <t>Ск</t>
        </is>
      </c>
      <c r="I47" s="5" t="n">
        <v>11970</v>
      </c>
    </row>
    <row r="50">
      <c r="A50" s="9" t="inlineStr">
        <is>
          <t>Счёт 50 «Касса»</t>
        </is>
      </c>
      <c r="B50" s="6" t="n"/>
      <c r="C50" s="6" t="n"/>
      <c r="D50" s="6" t="n"/>
      <c r="F50" s="9" t="inlineStr">
        <is>
          <t>Счёт 69 «Расчёты по соц. страхованию»</t>
        </is>
      </c>
      <c r="G50" s="6" t="n"/>
      <c r="H50" s="6" t="n"/>
      <c r="I50" s="6" t="n"/>
    </row>
    <row r="51">
      <c r="A51" s="2" t="inlineStr">
        <is>
          <t>Дебет</t>
        </is>
      </c>
      <c r="B51" s="10" t="inlineStr"/>
      <c r="C51" s="2" t="inlineStr">
        <is>
          <t>Кредит</t>
        </is>
      </c>
      <c r="D51" s="11" t="n"/>
      <c r="F51" s="2" t="inlineStr">
        <is>
          <t>Дебет</t>
        </is>
      </c>
      <c r="G51" s="10" t="inlineStr"/>
      <c r="H51" s="2" t="inlineStr">
        <is>
          <t>Кредит</t>
        </is>
      </c>
      <c r="I51" s="11" t="n"/>
    </row>
    <row r="52">
      <c r="A52" s="3" t="inlineStr">
        <is>
          <t>Сн</t>
        </is>
      </c>
      <c r="B52" s="5" t="n">
        <v>18000</v>
      </c>
      <c r="C52" s="3" t="inlineStr">
        <is>
          <t>Сн</t>
        </is>
      </c>
      <c r="D52" s="5" t="n">
        <v>0</v>
      </c>
      <c r="F52" s="3" t="inlineStr">
        <is>
          <t>Сн</t>
        </is>
      </c>
      <c r="G52" s="5" t="n">
        <v>0</v>
      </c>
      <c r="H52" s="3" t="inlineStr">
        <is>
          <t>Сн</t>
        </is>
      </c>
      <c r="I52" s="5" t="n">
        <v>0</v>
      </c>
    </row>
    <row r="53">
      <c r="A53" s="6" t="n"/>
      <c r="B53" s="6" t="n"/>
      <c r="C53" s="6" t="n"/>
      <c r="D53" s="6" t="n"/>
      <c r="F53" s="6" t="n"/>
      <c r="G53" s="6" t="n"/>
      <c r="H53" s="3" t="n">
        <v>6</v>
      </c>
      <c r="I53" s="5" t="n">
        <v>32481</v>
      </c>
    </row>
    <row r="54">
      <c r="A54" s="9" t="inlineStr">
        <is>
          <t>ОД</t>
        </is>
      </c>
      <c r="B54" s="12" t="n">
        <v>0</v>
      </c>
      <c r="C54" s="9" t="inlineStr">
        <is>
          <t>ОК</t>
        </is>
      </c>
      <c r="D54" s="12" t="n">
        <v>0</v>
      </c>
      <c r="F54" s="9" t="inlineStr">
        <is>
          <t>ОД</t>
        </is>
      </c>
      <c r="G54" s="12" t="n">
        <v>0</v>
      </c>
      <c r="H54" s="9" t="inlineStr">
        <is>
          <t>ОК</t>
        </is>
      </c>
      <c r="I54" s="12" t="n">
        <v>32481</v>
      </c>
    </row>
    <row r="55">
      <c r="A55" s="9" t="inlineStr">
        <is>
          <t>Ск</t>
        </is>
      </c>
      <c r="B55" s="5" t="n">
        <v>18000</v>
      </c>
      <c r="C55" s="9" t="inlineStr">
        <is>
          <t>Ск</t>
        </is>
      </c>
      <c r="D55" s="5" t="n">
        <v>0</v>
      </c>
      <c r="F55" s="9" t="inlineStr">
        <is>
          <t>Ск</t>
        </is>
      </c>
      <c r="G55" s="5" t="n">
        <v>0</v>
      </c>
      <c r="H55" s="9" t="inlineStr">
        <is>
          <t>Ск</t>
        </is>
      </c>
      <c r="I55" s="5" t="n">
        <v>32481</v>
      </c>
    </row>
    <row r="58">
      <c r="A58" s="9" t="inlineStr">
        <is>
          <t>Счёт 70 «Расчёты с персоналом по оплате труда»</t>
        </is>
      </c>
      <c r="B58" s="6" t="n"/>
      <c r="C58" s="6" t="n"/>
      <c r="D58" s="6" t="n"/>
      <c r="F58" s="9" t="inlineStr">
        <is>
          <t>Счёт 71 «Расчёты с подотчётными лицами»</t>
        </is>
      </c>
      <c r="G58" s="6" t="n"/>
      <c r="H58" s="6" t="n"/>
      <c r="I58" s="6" t="n"/>
    </row>
    <row r="59">
      <c r="A59" s="2" t="inlineStr">
        <is>
          <t>Дебет</t>
        </is>
      </c>
      <c r="B59" s="10" t="inlineStr"/>
      <c r="C59" s="2" t="inlineStr">
        <is>
          <t>Кредит</t>
        </is>
      </c>
      <c r="D59" s="11" t="n"/>
      <c r="F59" s="2" t="inlineStr">
        <is>
          <t>Дебет</t>
        </is>
      </c>
      <c r="G59" s="10" t="inlineStr"/>
      <c r="H59" s="2" t="inlineStr">
        <is>
          <t>Кредит</t>
        </is>
      </c>
      <c r="I59" s="11" t="n"/>
    </row>
    <row r="60">
      <c r="A60" s="3" t="inlineStr">
        <is>
          <t>Сн</t>
        </is>
      </c>
      <c r="B60" s="5" t="n">
        <v>0</v>
      </c>
      <c r="C60" s="3" t="inlineStr">
        <is>
          <t>Сн</t>
        </is>
      </c>
      <c r="D60" s="5" t="n">
        <v>0</v>
      </c>
      <c r="F60" s="3" t="inlineStr">
        <is>
          <t>Сн</t>
        </is>
      </c>
      <c r="G60" s="5" t="n">
        <v>4500</v>
      </c>
      <c r="H60" s="3" t="inlineStr">
        <is>
          <t>Сн</t>
        </is>
      </c>
      <c r="I60" s="5" t="n">
        <v>0</v>
      </c>
    </row>
    <row r="61">
      <c r="A61" s="6" t="n"/>
      <c r="B61" s="6" t="n"/>
      <c r="C61" s="3" t="n">
        <v>5</v>
      </c>
      <c r="D61" s="5" t="n">
        <v>108270</v>
      </c>
      <c r="F61" s="6" t="n"/>
      <c r="G61" s="6" t="n"/>
      <c r="H61" s="3" t="n">
        <v>3</v>
      </c>
      <c r="I61" s="5" t="n">
        <v>4302</v>
      </c>
    </row>
    <row r="62">
      <c r="A62" s="9" t="inlineStr">
        <is>
          <t>ОД</t>
        </is>
      </c>
      <c r="B62" s="12" t="n">
        <v>0</v>
      </c>
      <c r="C62" s="9" t="inlineStr">
        <is>
          <t>ОК</t>
        </is>
      </c>
      <c r="D62" s="12" t="n">
        <v>108270</v>
      </c>
      <c r="F62" s="9" t="inlineStr">
        <is>
          <t>ОД</t>
        </is>
      </c>
      <c r="G62" s="12" t="n">
        <v>0</v>
      </c>
      <c r="H62" s="9" t="inlineStr">
        <is>
          <t>ОК</t>
        </is>
      </c>
      <c r="I62" s="12" t="n">
        <v>4302</v>
      </c>
    </row>
    <row r="63">
      <c r="A63" s="9" t="inlineStr">
        <is>
          <t>Ск</t>
        </is>
      </c>
      <c r="B63" s="5" t="n">
        <v>0</v>
      </c>
      <c r="C63" s="9" t="inlineStr">
        <is>
          <t>Ск</t>
        </is>
      </c>
      <c r="D63" s="5" t="n">
        <v>108270</v>
      </c>
      <c r="F63" s="9" t="inlineStr">
        <is>
          <t>Ск</t>
        </is>
      </c>
      <c r="G63" s="5" t="n">
        <v>198</v>
      </c>
      <c r="H63" s="9" t="inlineStr">
        <is>
          <t>Ск</t>
        </is>
      </c>
      <c r="I63" s="5" t="n">
        <v>0</v>
      </c>
    </row>
    <row r="66">
      <c r="A66" s="9" t="inlineStr">
        <is>
          <t>Счёт 80 «Уставный капитал»</t>
        </is>
      </c>
      <c r="B66" s="6" t="n"/>
      <c r="C66" s="6" t="n"/>
      <c r="D66" s="6" t="n"/>
      <c r="F66" s="9" t="inlineStr">
        <is>
          <t>Счёт 99 «Прибыли и убытки»</t>
        </is>
      </c>
      <c r="G66" s="6" t="n"/>
      <c r="H66" s="6" t="n"/>
      <c r="I66" s="6" t="n"/>
    </row>
    <row r="67">
      <c r="A67" s="2" t="inlineStr">
        <is>
          <t>Дебет</t>
        </is>
      </c>
      <c r="B67" s="10" t="inlineStr"/>
      <c r="C67" s="2" t="inlineStr">
        <is>
          <t>Кредит</t>
        </is>
      </c>
      <c r="D67" s="11" t="n"/>
      <c r="F67" s="2" t="inlineStr">
        <is>
          <t>Дебет</t>
        </is>
      </c>
      <c r="G67" s="10" t="inlineStr"/>
      <c r="H67" s="2" t="inlineStr">
        <is>
          <t>Кредит</t>
        </is>
      </c>
      <c r="I67" s="11" t="n"/>
    </row>
    <row r="68">
      <c r="A68" s="3" t="inlineStr">
        <is>
          <t>Сн</t>
        </is>
      </c>
      <c r="B68" s="5" t="n">
        <v>0</v>
      </c>
      <c r="C68" s="3" t="inlineStr">
        <is>
          <t>Сн</t>
        </is>
      </c>
      <c r="D68" s="5" t="n">
        <v>900000</v>
      </c>
      <c r="F68" s="3" t="inlineStr">
        <is>
          <t>Сн</t>
        </is>
      </c>
      <c r="G68" s="5" t="n">
        <v>0</v>
      </c>
      <c r="H68" s="3" t="inlineStr">
        <is>
          <t>Сн</t>
        </is>
      </c>
      <c r="I68" s="5" t="n">
        <v>58500</v>
      </c>
    </row>
    <row r="69">
      <c r="A69" s="6" t="n"/>
      <c r="B69" s="6" t="n"/>
      <c r="C69" s="6" t="n"/>
      <c r="D69" s="6" t="n"/>
      <c r="F69" s="3" t="n">
        <v>16</v>
      </c>
      <c r="G69" s="5" t="n">
        <v>10595.25</v>
      </c>
      <c r="H69" s="6" t="n"/>
      <c r="I69" s="6" t="n"/>
    </row>
    <row r="70">
      <c r="A70" s="9" t="inlineStr">
        <is>
          <t>ОД</t>
        </is>
      </c>
      <c r="B70" s="12" t="n">
        <v>0</v>
      </c>
      <c r="C70" s="9" t="inlineStr">
        <is>
          <t>ОК</t>
        </is>
      </c>
      <c r="D70" s="12" t="n">
        <v>0</v>
      </c>
      <c r="F70" s="9" t="inlineStr">
        <is>
          <t>ОД</t>
        </is>
      </c>
      <c r="G70" s="12" t="n">
        <v>10595.25</v>
      </c>
      <c r="H70" s="9" t="inlineStr">
        <is>
          <t>ОК</t>
        </is>
      </c>
      <c r="I70" s="12" t="n">
        <v>0</v>
      </c>
    </row>
    <row r="71">
      <c r="A71" s="9" t="inlineStr">
        <is>
          <t>Ск</t>
        </is>
      </c>
      <c r="B71" s="5" t="n">
        <v>0</v>
      </c>
      <c r="C71" s="9" t="inlineStr">
        <is>
          <t>Ск</t>
        </is>
      </c>
      <c r="D71" s="5" t="n">
        <v>900000</v>
      </c>
      <c r="F71" s="9" t="inlineStr">
        <is>
          <t>Ск</t>
        </is>
      </c>
      <c r="G71" s="5" t="n">
        <v>0</v>
      </c>
      <c r="H71" s="9" t="inlineStr">
        <is>
          <t>Ск</t>
        </is>
      </c>
      <c r="I71" s="5" t="n">
        <v>47904.75</v>
      </c>
    </row>
  </sheetData>
  <mergeCells count="17">
    <mergeCell ref="F14:I14"/>
    <mergeCell ref="A23:D23"/>
    <mergeCell ref="F50:I50"/>
    <mergeCell ref="A66:D66"/>
    <mergeCell ref="A58:D58"/>
    <mergeCell ref="A50:D50"/>
    <mergeCell ref="F3:I3"/>
    <mergeCell ref="A1:F1"/>
    <mergeCell ref="A3:D3"/>
    <mergeCell ref="F58:I58"/>
    <mergeCell ref="F66:I66"/>
    <mergeCell ref="A33:D33"/>
    <mergeCell ref="F23:I23"/>
    <mergeCell ref="A42:D42"/>
    <mergeCell ref="F33:I33"/>
    <mergeCell ref="A14:D14"/>
    <mergeCell ref="F42:I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Оборотно-сальдовая ведомость — Вариант 7</t>
        </is>
      </c>
    </row>
    <row r="3">
      <c r="A3" s="2" t="inlineStr">
        <is>
          <t>№ счёта</t>
        </is>
      </c>
      <c r="B3" s="2" t="inlineStr">
        <is>
          <t>Наименование</t>
        </is>
      </c>
      <c r="C3" s="2" t="inlineStr">
        <is>
          <t>Сальдо на начало</t>
        </is>
      </c>
      <c r="D3" s="2" t="n"/>
      <c r="E3" s="2" t="inlineStr">
        <is>
          <t>Обороты за период</t>
        </is>
      </c>
      <c r="F3" s="2" t="n"/>
      <c r="G3" s="2" t="inlineStr">
        <is>
          <t>Сальдо на конец</t>
        </is>
      </c>
      <c r="H3" s="2" t="n"/>
    </row>
    <row r="4">
      <c r="A4" s="2" t="n"/>
      <c r="B4" s="2" t="n"/>
      <c r="C4" s="2" t="inlineStr">
        <is>
          <t>Дт</t>
        </is>
      </c>
      <c r="D4" s="2" t="inlineStr">
        <is>
          <t>Кт</t>
        </is>
      </c>
      <c r="E4" s="2" t="inlineStr">
        <is>
          <t>Дт</t>
        </is>
      </c>
      <c r="F4" s="2" t="inlineStr">
        <is>
          <t>Кт</t>
        </is>
      </c>
      <c r="G4" s="2" t="inlineStr">
        <is>
          <t>Дт</t>
        </is>
      </c>
      <c r="H4" s="2" t="inlineStr">
        <is>
          <t>Кт</t>
        </is>
      </c>
    </row>
    <row r="5">
      <c r="A5" s="3" t="n">
        <v>1</v>
      </c>
      <c r="B5" s="6" t="inlineStr">
        <is>
          <t>Основные средства</t>
        </is>
      </c>
      <c r="C5" s="5" t="n">
        <v>810000</v>
      </c>
      <c r="D5" s="5" t="n"/>
      <c r="E5" s="5" t="n"/>
      <c r="F5" s="5" t="n"/>
      <c r="G5" s="5" t="n">
        <v>810000</v>
      </c>
      <c r="H5" s="5" t="n"/>
    </row>
    <row r="6">
      <c r="A6" s="3" t="n">
        <v>2</v>
      </c>
      <c r="B6" s="6" t="inlineStr">
        <is>
          <t>Амортизация основных средств</t>
        </is>
      </c>
      <c r="C6" s="5" t="n"/>
      <c r="D6" s="5" t="n"/>
      <c r="E6" s="5" t="n"/>
      <c r="F6" s="5" t="n">
        <v>11970</v>
      </c>
      <c r="G6" s="5" t="n"/>
      <c r="H6" s="5" t="n">
        <v>11970</v>
      </c>
    </row>
    <row r="7">
      <c r="A7" s="3" t="n">
        <v>10</v>
      </c>
      <c r="B7" s="6" t="inlineStr">
        <is>
          <t>Материалы</t>
        </is>
      </c>
      <c r="C7" s="5" t="n">
        <v>85500</v>
      </c>
      <c r="D7" s="5" t="n"/>
      <c r="E7" s="5" t="n">
        <v>93366</v>
      </c>
      <c r="F7" s="5" t="n">
        <v>97677</v>
      </c>
      <c r="G7" s="5" t="n">
        <v>81189</v>
      </c>
      <c r="H7" s="5" t="n"/>
    </row>
    <row r="8">
      <c r="A8" s="3" t="n">
        <v>20</v>
      </c>
      <c r="B8" s="6" t="inlineStr">
        <is>
          <t>Основное производство</t>
        </is>
      </c>
      <c r="C8" s="5" t="n">
        <v>9000</v>
      </c>
      <c r="D8" s="5" t="n"/>
      <c r="E8" s="5" t="n">
        <v>248571</v>
      </c>
      <c r="F8" s="5" t="n">
        <v>257571</v>
      </c>
      <c r="G8" s="5" t="n"/>
      <c r="H8" s="5" t="n"/>
    </row>
    <row r="9">
      <c r="A9" s="3" t="n">
        <v>43</v>
      </c>
      <c r="B9" s="6" t="inlineStr">
        <is>
          <t>Готовая продукция</t>
        </is>
      </c>
      <c r="C9" s="5" t="n">
        <v>40500</v>
      </c>
      <c r="D9" s="5" t="n"/>
      <c r="E9" s="5" t="n">
        <v>257571</v>
      </c>
      <c r="F9" s="5" t="n">
        <v>193178.25</v>
      </c>
      <c r="G9" s="5" t="n">
        <v>104892.75</v>
      </c>
      <c r="H9" s="5" t="n"/>
    </row>
    <row r="10">
      <c r="A10" s="3" t="n">
        <v>44</v>
      </c>
      <c r="B10" s="6" t="inlineStr">
        <is>
          <t>Расходы на продажу</t>
        </is>
      </c>
      <c r="C10" s="5" t="n"/>
      <c r="D10" s="5" t="n"/>
      <c r="E10" s="5" t="n">
        <v>9117</v>
      </c>
      <c r="F10" s="5" t="n">
        <v>9117</v>
      </c>
      <c r="G10" s="5" t="n"/>
      <c r="H10" s="5" t="n"/>
    </row>
    <row r="11">
      <c r="A11" s="3" t="n">
        <v>50</v>
      </c>
      <c r="B11" s="6" t="inlineStr">
        <is>
          <t>Касса</t>
        </is>
      </c>
      <c r="C11" s="5" t="n">
        <v>18000</v>
      </c>
      <c r="D11" s="5" t="n"/>
      <c r="E11" s="5" t="n"/>
      <c r="F11" s="5" t="n"/>
      <c r="G11" s="5" t="n">
        <v>18000</v>
      </c>
      <c r="H11" s="5" t="n"/>
    </row>
    <row r="12">
      <c r="A12" s="3" t="n">
        <v>51</v>
      </c>
      <c r="B12" s="6" t="inlineStr">
        <is>
          <t>Расчётные счета</t>
        </is>
      </c>
      <c r="C12" s="5" t="n">
        <v>171000</v>
      </c>
      <c r="D12" s="5" t="n"/>
      <c r="E12" s="5" t="n">
        <v>191700</v>
      </c>
      <c r="F12" s="5" t="n">
        <v>44550</v>
      </c>
      <c r="G12" s="5" t="n">
        <v>318150</v>
      </c>
      <c r="H12" s="5" t="n"/>
    </row>
    <row r="13">
      <c r="A13" s="3" t="n">
        <v>60</v>
      </c>
      <c r="B13" s="6" t="inlineStr">
        <is>
          <t>Расчёты с поставщиками и подрядч.</t>
        </is>
      </c>
      <c r="C13" s="5" t="n"/>
      <c r="D13" s="5" t="n">
        <v>180000</v>
      </c>
      <c r="E13" s="5" t="n">
        <v>44550</v>
      </c>
      <c r="F13" s="5" t="n">
        <v>96354</v>
      </c>
      <c r="G13" s="5" t="n"/>
      <c r="H13" s="5" t="n">
        <v>231804</v>
      </c>
    </row>
    <row r="14">
      <c r="A14" s="3" t="n">
        <v>62</v>
      </c>
      <c r="B14" s="6" t="inlineStr">
        <is>
          <t>Расчёты с покупателями и заказч.</t>
        </is>
      </c>
      <c r="C14" s="5" t="n"/>
      <c r="D14" s="5" t="n"/>
      <c r="E14" s="5" t="n">
        <v>191700</v>
      </c>
      <c r="F14" s="5" t="n">
        <v>191700</v>
      </c>
      <c r="G14" s="5" t="n"/>
      <c r="H14" s="5" t="n"/>
    </row>
    <row r="15">
      <c r="A15" s="3" t="n">
        <v>69</v>
      </c>
      <c r="B15" s="6" t="inlineStr">
        <is>
          <t>Расчёты по соц. страхованию</t>
        </is>
      </c>
      <c r="C15" s="5" t="n"/>
      <c r="D15" s="5" t="n"/>
      <c r="E15" s="5" t="n"/>
      <c r="F15" s="5" t="n">
        <v>32481</v>
      </c>
      <c r="G15" s="5" t="n"/>
      <c r="H15" s="5" t="n">
        <v>32481</v>
      </c>
    </row>
    <row r="16">
      <c r="A16" s="3" t="n">
        <v>70</v>
      </c>
      <c r="B16" s="6" t="inlineStr">
        <is>
          <t>Расчёты с персоналом по оплате труда</t>
        </is>
      </c>
      <c r="C16" s="5" t="n"/>
      <c r="D16" s="5" t="n"/>
      <c r="E16" s="5" t="n"/>
      <c r="F16" s="5" t="n">
        <v>108270</v>
      </c>
      <c r="G16" s="5" t="n"/>
      <c r="H16" s="5" t="n">
        <v>108270</v>
      </c>
    </row>
    <row r="17">
      <c r="A17" s="3" t="n">
        <v>71</v>
      </c>
      <c r="B17" s="6" t="inlineStr">
        <is>
          <t>Расчёты с подотчётными лицами</t>
        </is>
      </c>
      <c r="C17" s="5" t="n">
        <v>4500</v>
      </c>
      <c r="D17" s="5" t="n"/>
      <c r="E17" s="5" t="n"/>
      <c r="F17" s="5" t="n">
        <v>4302</v>
      </c>
      <c r="G17" s="5" t="n">
        <v>198</v>
      </c>
      <c r="H17" s="5" t="n"/>
    </row>
    <row r="18">
      <c r="A18" s="3" t="n">
        <v>80</v>
      </c>
      <c r="B18" s="6" t="inlineStr">
        <is>
          <t>Уставный капитал</t>
        </is>
      </c>
      <c r="C18" s="5" t="n"/>
      <c r="D18" s="5" t="n">
        <v>900000</v>
      </c>
      <c r="E18" s="5" t="n"/>
      <c r="F18" s="5" t="n"/>
      <c r="G18" s="5" t="n"/>
      <c r="H18" s="5" t="n">
        <v>900000</v>
      </c>
    </row>
    <row r="19">
      <c r="A19" s="3" t="n">
        <v>90</v>
      </c>
      <c r="B19" s="6" t="inlineStr">
        <is>
          <t>Продажи</t>
        </is>
      </c>
      <c r="C19" s="5" t="n"/>
      <c r="D19" s="5" t="n"/>
      <c r="E19" s="5" t="n">
        <v>202295.25</v>
      </c>
      <c r="F19" s="5" t="n">
        <v>202295.25</v>
      </c>
      <c r="G19" s="5" t="n"/>
      <c r="H19" s="5" t="n"/>
    </row>
    <row r="20">
      <c r="A20" s="3" t="n">
        <v>99</v>
      </c>
      <c r="B20" s="6" t="inlineStr">
        <is>
          <t>Прибыли и убытки</t>
        </is>
      </c>
      <c r="C20" s="5" t="n"/>
      <c r="D20" s="5" t="n">
        <v>58500</v>
      </c>
      <c r="E20" s="5" t="n">
        <v>10595.25</v>
      </c>
      <c r="F20" s="5" t="n"/>
      <c r="G20" s="5" t="n"/>
      <c r="H20" s="5" t="n">
        <v>47904.75</v>
      </c>
    </row>
    <row r="21">
      <c r="A21" s="6" t="n"/>
      <c r="B21" s="7" t="inlineStr">
        <is>
          <t>ИТОГО</t>
        </is>
      </c>
      <c r="C21" s="8">
        <f>SUM(C5:C20)</f>
        <v/>
      </c>
      <c r="D21" s="8">
        <f>SUM(D5:D20)</f>
        <v/>
      </c>
      <c r="E21" s="8">
        <f>SUM(E5:E20)</f>
        <v/>
      </c>
      <c r="F21" s="8">
        <f>SUM(F5:F20)</f>
        <v/>
      </c>
      <c r="G21" s="8">
        <f>SUM(G5:G20)</f>
        <v/>
      </c>
      <c r="H21" s="8">
        <f>SUM(H5:H20)</f>
        <v/>
      </c>
    </row>
  </sheetData>
  <mergeCells count="6">
    <mergeCell ref="B3:B4"/>
    <mergeCell ref="A3:A4"/>
    <mergeCell ref="A1:H1"/>
    <mergeCell ref="C3:D3"/>
    <mergeCell ref="G3:H3"/>
    <mergeCell ref="E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Бухгалтерский баланс — Вариант 7</t>
        </is>
      </c>
    </row>
    <row r="3">
      <c r="A3" s="2" t="inlineStr">
        <is>
          <t>АКТИВ</t>
        </is>
      </c>
      <c r="B3" s="13" t="inlineStr">
        <is>
          <t>На начало периода</t>
        </is>
      </c>
      <c r="C3" s="13" t="inlineStr">
        <is>
          <t>На конец периода</t>
        </is>
      </c>
    </row>
    <row r="4">
      <c r="A4" s="14" t="inlineStr">
        <is>
          <t>I. Внеоборотные активы</t>
        </is>
      </c>
      <c r="B4" s="15" t="n"/>
      <c r="C4" s="15" t="n"/>
    </row>
    <row r="5">
      <c r="A5" s="6" t="inlineStr">
        <is>
          <t>Основные средства (01 − 02)</t>
        </is>
      </c>
      <c r="B5" s="5" t="n">
        <v>810000</v>
      </c>
      <c r="C5" s="5" t="n">
        <v>798030</v>
      </c>
    </row>
    <row r="6">
      <c r="A6" s="14" t="inlineStr">
        <is>
          <t>Итого по разделу I</t>
        </is>
      </c>
      <c r="B6" s="12">
        <f>B5</f>
        <v/>
      </c>
      <c r="C6" s="12">
        <f>C5</f>
        <v/>
      </c>
    </row>
    <row r="7">
      <c r="A7" s="14" t="inlineStr">
        <is>
          <t>II. Оборотные активы</t>
        </is>
      </c>
      <c r="B7" s="15" t="n"/>
      <c r="C7" s="15" t="n"/>
    </row>
    <row r="8">
      <c r="A8" s="6" t="inlineStr">
        <is>
          <t>Запасы: материалы (10)</t>
        </is>
      </c>
      <c r="B8" s="5" t="n">
        <v>85500</v>
      </c>
      <c r="C8" s="5" t="n">
        <v>81189</v>
      </c>
    </row>
    <row r="9">
      <c r="A9" s="6" t="inlineStr">
        <is>
          <t>Запасы: незавершённое произв. (20)</t>
        </is>
      </c>
      <c r="B9" s="5" t="n">
        <v>9000</v>
      </c>
      <c r="C9" s="15" t="n"/>
    </row>
    <row r="10">
      <c r="A10" s="6" t="inlineStr">
        <is>
          <t>Запасы: готовая продукция (43)</t>
        </is>
      </c>
      <c r="B10" s="5" t="n">
        <v>40500</v>
      </c>
      <c r="C10" s="5" t="n">
        <v>104892.75</v>
      </c>
    </row>
    <row r="11">
      <c r="A11" s="6" t="inlineStr">
        <is>
          <t>Расходы на продажу (44)</t>
        </is>
      </c>
      <c r="B11" s="15" t="n"/>
      <c r="C11" s="15" t="n"/>
    </row>
    <row r="12">
      <c r="A12" s="6" t="inlineStr">
        <is>
          <t>Дебиторская задолж.: подотчётные (71)</t>
        </is>
      </c>
      <c r="B12" s="5" t="n">
        <v>4500</v>
      </c>
      <c r="C12" s="5" t="n">
        <v>198</v>
      </c>
    </row>
    <row r="13">
      <c r="A13" s="6" t="inlineStr">
        <is>
          <t>Денежные средства: касса (50)</t>
        </is>
      </c>
      <c r="B13" s="5" t="n">
        <v>18000</v>
      </c>
      <c r="C13" s="5" t="n">
        <v>18000</v>
      </c>
    </row>
    <row r="14">
      <c r="A14" s="6" t="inlineStr">
        <is>
          <t>Денежные средства: р/счёт (51)</t>
        </is>
      </c>
      <c r="B14" s="5" t="n">
        <v>171000</v>
      </c>
      <c r="C14" s="5" t="n">
        <v>318150</v>
      </c>
    </row>
    <row r="15">
      <c r="A15" s="14" t="inlineStr">
        <is>
          <t>Итого по разделу II</t>
        </is>
      </c>
      <c r="B15" s="12">
        <f>SUM(B8:B14)</f>
        <v/>
      </c>
      <c r="C15" s="12">
        <f>SUM(C8:C14)</f>
        <v/>
      </c>
    </row>
    <row r="16">
      <c r="A16" s="10" t="inlineStr">
        <is>
          <t>БАЛАНС (АКТИВ)</t>
        </is>
      </c>
      <c r="B16" s="13">
        <f>B6+B15</f>
        <v/>
      </c>
      <c r="C16" s="13">
        <f>C6+C15</f>
        <v/>
      </c>
    </row>
    <row r="17">
      <c r="B17" s="15" t="n"/>
      <c r="C17" s="15" t="n"/>
    </row>
    <row r="18">
      <c r="A18" s="2" t="inlineStr">
        <is>
          <t>ПАССИВ</t>
        </is>
      </c>
      <c r="B18" s="13" t="inlineStr">
        <is>
          <t>На начало периода</t>
        </is>
      </c>
      <c r="C18" s="13" t="inlineStr">
        <is>
          <t>На конец периода</t>
        </is>
      </c>
    </row>
    <row r="19">
      <c r="A19" s="14" t="inlineStr">
        <is>
          <t>III. Капитал и резервы</t>
        </is>
      </c>
      <c r="B19" s="15" t="n"/>
      <c r="C19" s="15" t="n"/>
    </row>
    <row r="20">
      <c r="A20" s="6" t="inlineStr">
        <is>
          <t>Уставный капитал (80)</t>
        </is>
      </c>
      <c r="B20" s="5" t="n">
        <v>900000</v>
      </c>
      <c r="C20" s="5" t="n">
        <v>900000</v>
      </c>
    </row>
    <row r="21">
      <c r="A21" s="6" t="inlineStr">
        <is>
          <t>Нераспределённая прибыль (99)</t>
        </is>
      </c>
      <c r="B21" s="5" t="n">
        <v>58500</v>
      </c>
      <c r="C21" s="5" t="n">
        <v>47904.75</v>
      </c>
    </row>
    <row r="22">
      <c r="A22" s="14" t="inlineStr">
        <is>
          <t>Итого по разделу III</t>
        </is>
      </c>
      <c r="B22" s="12">
        <f>SUM(B20:B21)</f>
        <v/>
      </c>
      <c r="C22" s="12">
        <f>SUM(C20:C21)</f>
        <v/>
      </c>
    </row>
    <row r="23">
      <c r="A23" s="14" t="inlineStr">
        <is>
          <t>V. Краткосрочные обязательства</t>
        </is>
      </c>
      <c r="B23" s="15" t="n"/>
      <c r="C23" s="15" t="n"/>
    </row>
    <row r="24">
      <c r="A24" s="6" t="inlineStr">
        <is>
          <t>Поставщики (60)</t>
        </is>
      </c>
      <c r="B24" s="5" t="n">
        <v>180000</v>
      </c>
      <c r="C24" s="5" t="n">
        <v>231804</v>
      </c>
    </row>
    <row r="25">
      <c r="A25" s="6" t="inlineStr">
        <is>
          <t>Персонал по оплате труда (70)</t>
        </is>
      </c>
      <c r="B25" s="15" t="n"/>
      <c r="C25" s="5" t="n">
        <v>108270</v>
      </c>
    </row>
    <row r="26">
      <c r="A26" s="6" t="inlineStr">
        <is>
          <t>Соц. страхование (69)</t>
        </is>
      </c>
      <c r="B26" s="15" t="n"/>
      <c r="C26" s="5" t="n">
        <v>32481</v>
      </c>
    </row>
    <row r="27">
      <c r="A27" s="16" t="inlineStr">
        <is>
          <t>Амортизация ОС (02) — корректирующая</t>
        </is>
      </c>
      <c r="B27" s="15" t="n"/>
      <c r="C27" s="15" t="n"/>
    </row>
    <row r="28">
      <c r="A28" s="14" t="inlineStr">
        <is>
          <t>Итого по разделу V</t>
        </is>
      </c>
      <c r="B28" s="12">
        <f>SUM(B24:B26)</f>
        <v/>
      </c>
      <c r="C28" s="12">
        <f>SUM(C24:C26)</f>
        <v/>
      </c>
    </row>
    <row r="29">
      <c r="A29" s="10" t="inlineStr">
        <is>
          <t>БАЛАНС (ПАССИВ)</t>
        </is>
      </c>
      <c r="B29" s="13">
        <f>B22+B28</f>
        <v/>
      </c>
      <c r="C29" s="13">
        <f>C22+C28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2026-05-15T14:45:46Z</dcterms:created>
  <dcterms:modified xmlns:dcterms="http://purl.org/dc/terms/" xmlns:xsi="http://www.w3.org/2001/XMLSchema-instance" xsi:type="dcterms:W3CDTF">2026-05-15T14:45:46Z</dcterms:modified>
</cp:coreProperties>
</file>